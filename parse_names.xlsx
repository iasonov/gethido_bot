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juanap\Programs\gethido_bot\"/>
    </mc:Choice>
  </mc:AlternateContent>
  <xr:revisionPtr revIDLastSave="0" documentId="13_ncr:1_{7F12694B-D776-4A91-A629-58D1C85F379F}" xr6:coauthVersionLast="47" xr6:coauthVersionMax="47" xr10:uidLastSave="{00000000-0000-0000-0000-000000000000}"/>
  <bookViews>
    <workbookView xWindow="-14505" yWindow="0" windowWidth="14610" windowHeight="17385" xr2:uid="{8AEC4A21-2ABD-435E-8D56-D6296B00FD2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9" i="1" l="1"/>
  <c r="O30" i="1"/>
  <c r="O31" i="1"/>
  <c r="O32" i="1"/>
  <c r="O33" i="1"/>
  <c r="O34" i="1"/>
  <c r="O35" i="1"/>
  <c r="O37" i="1"/>
  <c r="O38" i="1"/>
  <c r="O39" i="1"/>
  <c r="O40" i="1"/>
  <c r="O41" i="1"/>
  <c r="O42" i="1"/>
  <c r="O44" i="1"/>
  <c r="O45" i="1"/>
  <c r="O46" i="1"/>
  <c r="O47" i="1"/>
  <c r="O48" i="1"/>
  <c r="O49" i="1"/>
  <c r="O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2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1" i="1"/>
</calcChain>
</file>

<file path=xl/sharedStrings.xml><?xml version="1.0" encoding="utf-8"?>
<sst xmlns="http://schemas.openxmlformats.org/spreadsheetml/2006/main" count="72" uniqueCount="70">
  <si>
    <t>-972833656 Аналитика данных и прикладная статистика</t>
  </si>
  <si>
    <t>-4147228289 АБД</t>
  </si>
  <si>
    <t>-1002099686965 Карпов Курсы</t>
  </si>
  <si>
    <t>-4749312259 Биоинформатика</t>
  </si>
  <si>
    <t>-4198260355 ИИ в маркетинге и управлении продуктом</t>
  </si>
  <si>
    <t>-1002100789923 ИФР</t>
  </si>
  <si>
    <t>-613642779 ИИ</t>
  </si>
  <si>
    <t>-4171683633 интерактивный дизайн</t>
  </si>
  <si>
    <t>-1002670463110 китайский ШИЯ</t>
  </si>
  <si>
    <t>-4186647978 маркмен</t>
  </si>
  <si>
    <t>-4134366987 Международный бизнес</t>
  </si>
  <si>
    <t>-1002216681454 MDS МНАД</t>
  </si>
  <si>
    <t>-1002508354725 Пед.дизайн</t>
  </si>
  <si>
    <t>-878424227 Прикладная социальная психология</t>
  </si>
  <si>
    <t>-1002562197059 Прикладная лингвистика</t>
  </si>
  <si>
    <t xml:space="preserve">-942218135 ПРВИС ВОКИС </t>
  </si>
  <si>
    <t>-1002573664656 Псих. бизнес-консультирование</t>
  </si>
  <si>
    <t>-4073830216 Псих. психотерапия</t>
  </si>
  <si>
    <t>-4092316930 УИБ</t>
  </si>
  <si>
    <t>-1002070587931 УЦП</t>
  </si>
  <si>
    <t>-1002035879507 УСК</t>
  </si>
  <si>
    <t>-824212567 Урбанистика</t>
  </si>
  <si>
    <t>-4102964588 УКИ</t>
  </si>
  <si>
    <t>-889355707 Финансы</t>
  </si>
  <si>
    <t>-4602706028 цифровая/игровая инженерия</t>
  </si>
  <si>
    <t>-1002012887954 ЭА</t>
  </si>
  <si>
    <t>Аналитика данных и прикладная статистика</t>
  </si>
  <si>
    <t xml:space="preserve">Master of Finance </t>
  </si>
  <si>
    <t>Магистр по наукам о данных</t>
  </si>
  <si>
    <t xml:space="preserve">Маркетинг-менеджмент </t>
  </si>
  <si>
    <t xml:space="preserve">Управление цифровым продуктом </t>
  </si>
  <si>
    <t xml:space="preserve">Кибербезопасность </t>
  </si>
  <si>
    <t xml:space="preserve">Управление стратегическими коммуникациями </t>
  </si>
  <si>
    <t xml:space="preserve">ЛигалТех </t>
  </si>
  <si>
    <t>Цифровая урбанистика и аналитика города</t>
  </si>
  <si>
    <t>Инвестиции на финансовых рынках</t>
  </si>
  <si>
    <t xml:space="preserve">Инженерия данных </t>
  </si>
  <si>
    <t xml:space="preserve">Управление в креативных индустриях </t>
  </si>
  <si>
    <t xml:space="preserve">Управление инновационным бизнесом </t>
  </si>
  <si>
    <t>Интерактивный дизайн</t>
  </si>
  <si>
    <t>Международный бизнес</t>
  </si>
  <si>
    <t>Педагогический дизайн: теория и практика обучения</t>
  </si>
  <si>
    <t>Цифровой маркетинг</t>
  </si>
  <si>
    <t>Китайский язык в межкультурной бизнес-коммуникации</t>
  </si>
  <si>
    <t>Цифровая инженерия для компьютерных игр</t>
  </si>
  <si>
    <t>Управление организациями и проектами</t>
  </si>
  <si>
    <t>ИИ и компьютерное зрение</t>
  </si>
  <si>
    <t>Ит-юрист</t>
  </si>
  <si>
    <t>-1002070587931 УЦП+</t>
  </si>
  <si>
    <t>-1002192951552 ИТ-юрист+</t>
  </si>
  <si>
    <t>-4171683633 интерактивный дизайн+</t>
  </si>
  <si>
    <t>-889355707 Финансы+</t>
  </si>
  <si>
    <t>-824212567 Урбанистика+</t>
  </si>
  <si>
    <t>-4102964588 УКИ+</t>
  </si>
  <si>
    <t>-4186647978 маркмен+</t>
  </si>
  <si>
    <t>-1002035879507 УСК+</t>
  </si>
  <si>
    <t>-1002500028103 (международный бизнес)+</t>
  </si>
  <si>
    <t>-4595042190 Цифровой маркетинг+</t>
  </si>
  <si>
    <t>-1002100789923 ИФР+</t>
  </si>
  <si>
    <t>-892164059 УОиП+</t>
  </si>
  <si>
    <t>-972833656 Аналитика данных и прикладная статистика+</t>
  </si>
  <si>
    <t>-4092316930 УИБ+</t>
  </si>
  <si>
    <t>-4602706028 МИЭМ (игровая инженерия)+</t>
  </si>
  <si>
    <t>-1002670463110 ШИЯ+</t>
  </si>
  <si>
    <t>-1002508354725 Пед.дизайн+</t>
  </si>
  <si>
    <t>-688995997 ИИ и компьютерное зрение+</t>
  </si>
  <si>
    <t>-1002216681454 MDS МНАД+</t>
  </si>
  <si>
    <t>-750161119 лигалтех+</t>
  </si>
  <si>
    <t>-1001707182564 кибербезопасность+</t>
  </si>
  <si>
    <t>-1001998842044 инженерия данных+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</si>
</sst>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32E6A-5C53-44EE-927B-1228E4F5E7BD}">
  <dimension ref="A1:O49"/>
  <sheetViews>
    <sheetView tabSelected="1" topLeftCell="B15" workbookViewId="0">
      <selection activeCell="N28" sqref="N28:O49"/>
    </sheetView>
  </sheetViews>
  <sheetFormatPr defaultRowHeight="15" x14ac:dyDescent="0.25"/>
  <cols>
    <col min="1" max="1" width="53" bestFit="1" customWidth="1"/>
    <col min="2" max="2" width="53" style="2" customWidth="1"/>
    <col min="13" max="13" width="17.5703125" customWidth="1"/>
    <col min="14" max="14" width="18.5703125" bestFit="1" customWidth="1"/>
  </cols>
  <sheetData>
    <row r="1" spans="1:3" x14ac:dyDescent="0.25">
      <c r="A1" t="s">
        <v>0</v>
      </c>
      <c r="C1" t="str">
        <f>RIGHT(A1,LEN(A1)-FIND(" ",A1))</f>
        <v>Аналитика данных и прикладная статистика</v>
      </c>
    </row>
    <row r="2" spans="1:3" x14ac:dyDescent="0.25">
      <c r="A2" t="s">
        <v>1</v>
      </c>
      <c r="C2" t="str">
        <f t="shared" ref="C2:C26" si="0">RIGHT(A2,LEN(A2)-FIND(" ",A2))</f>
        <v>АБД</v>
      </c>
    </row>
    <row r="3" spans="1:3" x14ac:dyDescent="0.25">
      <c r="A3" t="s">
        <v>2</v>
      </c>
      <c r="C3" t="str">
        <f t="shared" si="0"/>
        <v>Карпов Курсы</v>
      </c>
    </row>
    <row r="4" spans="1:3" x14ac:dyDescent="0.25">
      <c r="A4" t="s">
        <v>3</v>
      </c>
      <c r="C4" t="str">
        <f t="shared" si="0"/>
        <v>Биоинформатика</v>
      </c>
    </row>
    <row r="5" spans="1:3" x14ac:dyDescent="0.25">
      <c r="A5" t="s">
        <v>4</v>
      </c>
      <c r="C5" t="str">
        <f t="shared" si="0"/>
        <v>ИИ в маркетинге и управлении продуктом</v>
      </c>
    </row>
    <row r="6" spans="1:3" x14ac:dyDescent="0.25">
      <c r="A6" t="s">
        <v>5</v>
      </c>
      <c r="C6" t="str">
        <f t="shared" si="0"/>
        <v>ИФР</v>
      </c>
    </row>
    <row r="7" spans="1:3" x14ac:dyDescent="0.25">
      <c r="A7" t="s">
        <v>6</v>
      </c>
      <c r="C7" t="str">
        <f t="shared" si="0"/>
        <v>ИИ</v>
      </c>
    </row>
    <row r="8" spans="1:3" x14ac:dyDescent="0.25">
      <c r="A8" t="s">
        <v>7</v>
      </c>
      <c r="C8" t="str">
        <f t="shared" si="0"/>
        <v>интерактивный дизайн</v>
      </c>
    </row>
    <row r="9" spans="1:3" x14ac:dyDescent="0.25">
      <c r="A9" t="s">
        <v>8</v>
      </c>
      <c r="C9" t="str">
        <f t="shared" si="0"/>
        <v>китайский ШИЯ</v>
      </c>
    </row>
    <row r="10" spans="1:3" x14ac:dyDescent="0.25">
      <c r="A10" t="s">
        <v>9</v>
      </c>
      <c r="C10" t="str">
        <f t="shared" si="0"/>
        <v>маркмен</v>
      </c>
    </row>
    <row r="11" spans="1:3" x14ac:dyDescent="0.25">
      <c r="A11" t="s">
        <v>10</v>
      </c>
      <c r="C11" t="str">
        <f t="shared" si="0"/>
        <v>Международный бизнес</v>
      </c>
    </row>
    <row r="12" spans="1:3" x14ac:dyDescent="0.25">
      <c r="A12" t="s">
        <v>11</v>
      </c>
      <c r="C12" t="str">
        <f t="shared" si="0"/>
        <v>MDS МНАД</v>
      </c>
    </row>
    <row r="13" spans="1:3" x14ac:dyDescent="0.25">
      <c r="A13" t="s">
        <v>12</v>
      </c>
      <c r="C13" t="str">
        <f t="shared" si="0"/>
        <v>Пед.дизайн</v>
      </c>
    </row>
    <row r="14" spans="1:3" x14ac:dyDescent="0.25">
      <c r="A14" t="s">
        <v>13</v>
      </c>
      <c r="C14" t="str">
        <f t="shared" si="0"/>
        <v>Прикладная социальная психология</v>
      </c>
    </row>
    <row r="15" spans="1:3" x14ac:dyDescent="0.25">
      <c r="A15" t="s">
        <v>14</v>
      </c>
      <c r="C15" t="str">
        <f t="shared" si="0"/>
        <v>Прикладная лингвистика</v>
      </c>
    </row>
    <row r="16" spans="1:3" x14ac:dyDescent="0.25">
      <c r="A16" t="s">
        <v>15</v>
      </c>
      <c r="C16" t="str">
        <f t="shared" si="0"/>
        <v xml:space="preserve">ПРВИС ВОКИС </v>
      </c>
    </row>
    <row r="17" spans="1:15" x14ac:dyDescent="0.25">
      <c r="A17" t="s">
        <v>16</v>
      </c>
      <c r="C17" t="str">
        <f t="shared" si="0"/>
        <v>Псих. бизнес-консультирование</v>
      </c>
    </row>
    <row r="18" spans="1:15" x14ac:dyDescent="0.25">
      <c r="A18" t="s">
        <v>17</v>
      </c>
      <c r="C18" t="str">
        <f t="shared" si="0"/>
        <v>Псих. психотерапия</v>
      </c>
    </row>
    <row r="19" spans="1:15" x14ac:dyDescent="0.25">
      <c r="A19" t="s">
        <v>18</v>
      </c>
      <c r="C19" t="str">
        <f t="shared" si="0"/>
        <v>УИБ</v>
      </c>
    </row>
    <row r="20" spans="1:15" x14ac:dyDescent="0.25">
      <c r="A20" t="s">
        <v>19</v>
      </c>
      <c r="C20" t="str">
        <f t="shared" si="0"/>
        <v>УЦП</v>
      </c>
    </row>
    <row r="21" spans="1:15" x14ac:dyDescent="0.25">
      <c r="A21" t="s">
        <v>20</v>
      </c>
      <c r="C21" t="str">
        <f t="shared" si="0"/>
        <v>УСК</v>
      </c>
    </row>
    <row r="22" spans="1:15" x14ac:dyDescent="0.25">
      <c r="A22" t="s">
        <v>21</v>
      </c>
      <c r="C22" t="str">
        <f t="shared" si="0"/>
        <v>Урбанистика</v>
      </c>
    </row>
    <row r="23" spans="1:15" x14ac:dyDescent="0.25">
      <c r="A23" t="s">
        <v>22</v>
      </c>
      <c r="C23" t="str">
        <f t="shared" si="0"/>
        <v>УКИ</v>
      </c>
    </row>
    <row r="24" spans="1:15" x14ac:dyDescent="0.25">
      <c r="A24" t="s">
        <v>23</v>
      </c>
      <c r="C24" t="str">
        <f t="shared" si="0"/>
        <v>Финансы</v>
      </c>
    </row>
    <row r="25" spans="1:15" x14ac:dyDescent="0.25">
      <c r="A25" t="s">
        <v>24</v>
      </c>
      <c r="C25" t="str">
        <f t="shared" si="0"/>
        <v>цифровая/игровая инженерия</v>
      </c>
    </row>
    <row r="26" spans="1:15" x14ac:dyDescent="0.25">
      <c r="A26" t="s">
        <v>25</v>
      </c>
      <c r="C26" t="str">
        <f t="shared" si="0"/>
        <v>ЭА</v>
      </c>
    </row>
    <row r="28" spans="1:15" x14ac:dyDescent="0.25">
      <c r="A28" s="1"/>
      <c r="B28" s="1">
        <v>-972833656</v>
      </c>
      <c r="C28" t="s">
        <v>26</v>
      </c>
      <c r="L28" t="s">
        <v>48</v>
      </c>
      <c r="N28" s="1">
        <f>VALUE(LEFT(L28,FIND(" ",L28)-1))</f>
        <v>-1002070587931</v>
      </c>
      <c r="O28" t="str">
        <f>_xlfn.XLOOKUP(N28,B$28:B$49,C$28:C$49,"NOT FOUND")</f>
        <v xml:space="preserve">Управление цифровым продуктом </v>
      </c>
    </row>
    <row r="29" spans="1:15" x14ac:dyDescent="0.25">
      <c r="A29" s="1"/>
      <c r="B29" s="1">
        <v>-889355707</v>
      </c>
      <c r="C29" t="s">
        <v>27</v>
      </c>
      <c r="L29" t="s">
        <v>49</v>
      </c>
      <c r="N29" s="1">
        <f t="shared" ref="N29:N49" si="1">VALUE(LEFT(L29,FIND(" ",L29)-1))</f>
        <v>-1002192951552</v>
      </c>
      <c r="O29" t="str">
        <f t="shared" ref="O29:O49" si="2">_xlfn.XLOOKUP(N29,B$28:B$49,C$28:C$49,"NOT FOUND")</f>
        <v>Ит-юрист</v>
      </c>
    </row>
    <row r="30" spans="1:15" x14ac:dyDescent="0.25">
      <c r="A30" s="1"/>
      <c r="B30" s="1">
        <v>-1002216681454</v>
      </c>
      <c r="C30" t="s">
        <v>28</v>
      </c>
      <c r="L30" t="s">
        <v>50</v>
      </c>
      <c r="N30" s="1">
        <f t="shared" si="1"/>
        <v>-4171683633</v>
      </c>
      <c r="O30" t="str">
        <f t="shared" si="2"/>
        <v>Интерактивный дизайн</v>
      </c>
    </row>
    <row r="31" spans="1:15" x14ac:dyDescent="0.25">
      <c r="A31" s="1"/>
      <c r="B31" s="1">
        <v>-4186647978</v>
      </c>
      <c r="C31" t="s">
        <v>29</v>
      </c>
      <c r="L31" t="s">
        <v>51</v>
      </c>
      <c r="N31" s="1">
        <f t="shared" si="1"/>
        <v>-889355707</v>
      </c>
      <c r="O31" t="str">
        <f t="shared" si="2"/>
        <v xml:space="preserve">Master of Finance </v>
      </c>
    </row>
    <row r="32" spans="1:15" x14ac:dyDescent="0.25">
      <c r="A32" s="1"/>
      <c r="B32" s="1">
        <v>-1002070587931</v>
      </c>
      <c r="C32" t="s">
        <v>30</v>
      </c>
      <c r="L32" t="s">
        <v>52</v>
      </c>
      <c r="N32" s="1">
        <f t="shared" si="1"/>
        <v>-824212567</v>
      </c>
      <c r="O32" t="str">
        <f t="shared" si="2"/>
        <v>Цифровая урбанистика и аналитика города</v>
      </c>
    </row>
    <row r="33" spans="1:15" x14ac:dyDescent="0.25">
      <c r="A33" s="1"/>
      <c r="B33" s="1">
        <v>-1001707182564</v>
      </c>
      <c r="C33" t="s">
        <v>31</v>
      </c>
      <c r="L33" t="s">
        <v>53</v>
      </c>
      <c r="N33" s="1">
        <f t="shared" si="1"/>
        <v>-4102964588</v>
      </c>
      <c r="O33" t="str">
        <f t="shared" si="2"/>
        <v xml:space="preserve">Управление в креативных индустриях </v>
      </c>
    </row>
    <row r="34" spans="1:15" x14ac:dyDescent="0.25">
      <c r="A34" s="1"/>
      <c r="B34" s="1">
        <v>-1002035879507</v>
      </c>
      <c r="C34" t="s">
        <v>32</v>
      </c>
      <c r="L34" t="s">
        <v>54</v>
      </c>
      <c r="N34" s="1">
        <f t="shared" si="1"/>
        <v>-4186647978</v>
      </c>
      <c r="O34" t="str">
        <f t="shared" si="2"/>
        <v xml:space="preserve">Маркетинг-менеджмент </v>
      </c>
    </row>
    <row r="35" spans="1:15" x14ac:dyDescent="0.25">
      <c r="A35" s="1"/>
      <c r="B35" s="1">
        <v>-750161119</v>
      </c>
      <c r="C35" t="s">
        <v>33</v>
      </c>
      <c r="L35" t="s">
        <v>55</v>
      </c>
      <c r="N35" s="1">
        <f t="shared" si="1"/>
        <v>-1002035879507</v>
      </c>
      <c r="O35" t="str">
        <f t="shared" si="2"/>
        <v xml:space="preserve">Управление стратегическими коммуникациями </v>
      </c>
    </row>
    <row r="36" spans="1:15" x14ac:dyDescent="0.25">
      <c r="A36" s="1"/>
      <c r="B36" s="1">
        <v>-824212567</v>
      </c>
      <c r="C36" t="s">
        <v>34</v>
      </c>
      <c r="L36" t="s">
        <v>56</v>
      </c>
      <c r="N36" s="1">
        <f t="shared" si="1"/>
        <v>-1002500028103</v>
      </c>
      <c r="O36" t="s">
        <v>40</v>
      </c>
    </row>
    <row r="37" spans="1:15" x14ac:dyDescent="0.25">
      <c r="A37" s="1"/>
      <c r="B37" s="1">
        <v>-1002100789923</v>
      </c>
      <c r="C37" t="s">
        <v>35</v>
      </c>
      <c r="L37" t="s">
        <v>57</v>
      </c>
      <c r="N37" s="1">
        <f t="shared" si="1"/>
        <v>-4595042190</v>
      </c>
      <c r="O37" t="str">
        <f t="shared" si="2"/>
        <v>Цифровой маркетинг</v>
      </c>
    </row>
    <row r="38" spans="1:15" x14ac:dyDescent="0.25">
      <c r="A38" s="1"/>
      <c r="B38" s="1">
        <v>-1001998842044</v>
      </c>
      <c r="C38" t="s">
        <v>36</v>
      </c>
      <c r="L38" t="s">
        <v>58</v>
      </c>
      <c r="N38" s="1">
        <f t="shared" si="1"/>
        <v>-1002100789923</v>
      </c>
      <c r="O38" t="str">
        <f t="shared" si="2"/>
        <v>Инвестиции на финансовых рынках</v>
      </c>
    </row>
    <row r="39" spans="1:15" x14ac:dyDescent="0.25">
      <c r="A39" s="1"/>
      <c r="B39" s="1">
        <v>-4102964588</v>
      </c>
      <c r="C39" t="s">
        <v>37</v>
      </c>
      <c r="L39" t="s">
        <v>59</v>
      </c>
      <c r="N39" s="1">
        <f t="shared" si="1"/>
        <v>-892164059</v>
      </c>
      <c r="O39" t="str">
        <f t="shared" si="2"/>
        <v>Управление организациями и проектами</v>
      </c>
    </row>
    <row r="40" spans="1:15" x14ac:dyDescent="0.25">
      <c r="A40" s="1"/>
      <c r="B40" s="1">
        <v>-4092316930</v>
      </c>
      <c r="C40" t="s">
        <v>38</v>
      </c>
      <c r="L40" t="s">
        <v>60</v>
      </c>
      <c r="N40" s="1">
        <f t="shared" si="1"/>
        <v>-972833656</v>
      </c>
      <c r="O40" t="str">
        <f t="shared" si="2"/>
        <v>Аналитика данных и прикладная статистика</v>
      </c>
    </row>
    <row r="41" spans="1:15" x14ac:dyDescent="0.25">
      <c r="A41" s="1"/>
      <c r="B41" s="1">
        <v>-4171683633</v>
      </c>
      <c r="C41" t="s">
        <v>39</v>
      </c>
      <c r="L41" t="s">
        <v>61</v>
      </c>
      <c r="N41" s="1">
        <f t="shared" si="1"/>
        <v>-4092316930</v>
      </c>
      <c r="O41" t="str">
        <f t="shared" si="2"/>
        <v xml:space="preserve">Управление инновационным бизнесом </v>
      </c>
    </row>
    <row r="42" spans="1:15" x14ac:dyDescent="0.25">
      <c r="A42" s="1"/>
      <c r="B42" s="1">
        <v>-4134366987</v>
      </c>
      <c r="C42" t="s">
        <v>40</v>
      </c>
      <c r="L42" t="s">
        <v>62</v>
      </c>
      <c r="N42" s="1">
        <f t="shared" si="1"/>
        <v>-4602706028</v>
      </c>
      <c r="O42" t="str">
        <f t="shared" si="2"/>
        <v>Цифровая инженерия для компьютерных игр</v>
      </c>
    </row>
    <row r="43" spans="1:15" x14ac:dyDescent="0.25">
      <c r="A43" s="1"/>
      <c r="B43" s="1">
        <v>-1002508354725</v>
      </c>
      <c r="C43" t="s">
        <v>41</v>
      </c>
      <c r="L43" t="s">
        <v>63</v>
      </c>
      <c r="N43" s="1">
        <f t="shared" si="1"/>
        <v>-1002670463110</v>
      </c>
      <c r="O43" t="s">
        <v>43</v>
      </c>
    </row>
    <row r="44" spans="1:15" x14ac:dyDescent="0.25">
      <c r="A44" s="1"/>
      <c r="B44" s="1">
        <v>-4595042190</v>
      </c>
      <c r="C44" t="s">
        <v>42</v>
      </c>
      <c r="L44" t="s">
        <v>64</v>
      </c>
      <c r="N44" s="1">
        <f t="shared" si="1"/>
        <v>-1002508354725</v>
      </c>
      <c r="O44" t="str">
        <f t="shared" si="2"/>
        <v>Педагогический дизайн: теория и практика обучения</v>
      </c>
    </row>
    <row r="45" spans="1:15" x14ac:dyDescent="0.25">
      <c r="A45" s="1"/>
      <c r="B45" s="1">
        <v>-4517365607</v>
      </c>
      <c r="C45" t="s">
        <v>43</v>
      </c>
      <c r="L45" t="s">
        <v>65</v>
      </c>
      <c r="N45" s="1">
        <f t="shared" si="1"/>
        <v>-688995997</v>
      </c>
      <c r="O45" t="str">
        <f t="shared" si="2"/>
        <v>ИИ и компьютерное зрение</v>
      </c>
    </row>
    <row r="46" spans="1:15" x14ac:dyDescent="0.25">
      <c r="A46" s="1"/>
      <c r="B46" s="1">
        <v>-4602706028</v>
      </c>
      <c r="C46" t="s">
        <v>44</v>
      </c>
      <c r="L46" t="s">
        <v>66</v>
      </c>
      <c r="N46" s="1">
        <f t="shared" si="1"/>
        <v>-1002216681454</v>
      </c>
      <c r="O46" t="str">
        <f t="shared" si="2"/>
        <v>Магистр по наукам о данных</v>
      </c>
    </row>
    <row r="47" spans="1:15" x14ac:dyDescent="0.25">
      <c r="A47" s="1"/>
      <c r="B47" s="1">
        <v>-892164059</v>
      </c>
      <c r="C47" t="s">
        <v>45</v>
      </c>
      <c r="L47" t="s">
        <v>67</v>
      </c>
      <c r="N47" s="1">
        <f t="shared" si="1"/>
        <v>-750161119</v>
      </c>
      <c r="O47" t="str">
        <f t="shared" si="2"/>
        <v xml:space="preserve">ЛигалТех </v>
      </c>
    </row>
    <row r="48" spans="1:15" x14ac:dyDescent="0.25">
      <c r="A48" s="1"/>
      <c r="B48" s="1">
        <v>-688995997</v>
      </c>
      <c r="C48" t="s">
        <v>46</v>
      </c>
      <c r="L48" t="s">
        <v>68</v>
      </c>
      <c r="N48" s="1">
        <f t="shared" si="1"/>
        <v>-1001707182564</v>
      </c>
      <c r="O48" t="str">
        <f t="shared" si="2"/>
        <v xml:space="preserve">Кибербезопасность </v>
      </c>
    </row>
    <row r="49" spans="1:15" x14ac:dyDescent="0.25">
      <c r="A49" s="1"/>
      <c r="B49" s="1">
        <v>-1002192951552</v>
      </c>
      <c r="C49" t="s">
        <v>47</v>
      </c>
      <c r="L49" t="s">
        <v>69</v>
      </c>
      <c r="N49" s="1">
        <f t="shared" si="1"/>
        <v>-1001998842044</v>
      </c>
      <c r="O49" t="str">
        <f t="shared" si="2"/>
        <v xml:space="preserve">Инженерия данных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Asonov</dc:creator>
  <cp:lastModifiedBy>Igor Asonov</cp:lastModifiedBy>
  <dcterms:created xsi:type="dcterms:W3CDTF">2025-07-03T13:45:31Z</dcterms:created>
  <dcterms:modified xsi:type="dcterms:W3CDTF">2025-09-29T11:33:20Z</dcterms:modified>
</cp:coreProperties>
</file>